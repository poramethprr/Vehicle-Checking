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-FL-04-PS01\Desktop\"/>
    </mc:Choice>
  </mc:AlternateContent>
  <xr:revisionPtr revIDLastSave="0" documentId="8_{21D3FDE1-C8A5-46B1-B186-F87233C63ECF}" xr6:coauthVersionLast="47" xr6:coauthVersionMax="47" xr10:uidLastSave="{00000000-0000-0000-0000-000000000000}"/>
  <bookViews>
    <workbookView xWindow="-120" yWindow="-120" windowWidth="29040" windowHeight="15840" xr2:uid="{94FBD8BF-C8F1-4EE5-ABA6-5550991A0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<sst xmlns="http://schemas.openxmlformats.org/spreadsheetml/2006/main" count="214" uniqueCount="124">
  <si>
    <t>NO.</t>
  </si>
  <si>
    <t>ยี่ห้อ/ประเภทรถ</t>
  </si>
  <si>
    <t>เลขตัวถัง</t>
  </si>
  <si>
    <t>เลขเครื่องยนต์</t>
  </si>
  <si>
    <t>ทะเบียน</t>
  </si>
  <si>
    <t>ไมล์ครั้งต่อไป</t>
  </si>
  <si>
    <t>ไมล์ปัจจุบัน</t>
  </si>
  <si>
    <t>ระยะที่เกิน</t>
  </si>
  <si>
    <t>สถานะรถ</t>
  </si>
  <si>
    <t>หมายเหตุ</t>
  </si>
  <si>
    <t>รอบต่อภาษี</t>
  </si>
  <si>
    <t>พรบ.</t>
  </si>
  <si>
    <t>รอบต่อประกัน</t>
  </si>
  <si>
    <t>LMG</t>
  </si>
  <si>
    <t>วิริยะ</t>
  </si>
  <si>
    <t>อาคเนย์</t>
  </si>
  <si>
    <t>เทเวศ</t>
  </si>
  <si>
    <t>ประกันคุ้มภัย</t>
  </si>
  <si>
    <t>กรุงเทพประกันภัย</t>
  </si>
  <si>
    <t>วันหมดอายุ</t>
  </si>
  <si>
    <t>ไทยประกัน</t>
  </si>
  <si>
    <t>BENZ
X-Ray</t>
  </si>
  <si>
    <t>WDB675274-6K-064310</t>
  </si>
  <si>
    <t>356907-20-339085</t>
  </si>
  <si>
    <t>40-0700 ปท.</t>
  </si>
  <si>
    <t>ไม่พร้อม</t>
  </si>
  <si>
    <t>30/6/256</t>
  </si>
  <si>
    <t>P</t>
  </si>
  <si>
    <t>ISUZU
X-Ray</t>
  </si>
  <si>
    <t>NQR70RY521-7100010</t>
  </si>
  <si>
    <t>4HE1-754403</t>
  </si>
  <si>
    <t>40-0639 ปท.</t>
  </si>
  <si>
    <t>พร้อม</t>
  </si>
  <si>
    <t>31/3/256</t>
  </si>
  <si>
    <t>NP1NPR82KFT100006</t>
  </si>
  <si>
    <t>4HV1MU0905</t>
  </si>
  <si>
    <t>83-1063 ปท.</t>
  </si>
  <si>
    <t>NP1NPR82KFT100026</t>
  </si>
  <si>
    <t>4HV1MW0528</t>
  </si>
  <si>
    <t>83-9892</t>
  </si>
  <si>
    <t>MP1NPR75KFT112433</t>
  </si>
  <si>
    <t>4HK1SG2743</t>
  </si>
  <si>
    <t>40-0922 ปท.</t>
  </si>
  <si>
    <t>MP1NPR75KFT112637</t>
  </si>
  <si>
    <t>4HK1SR4638</t>
  </si>
  <si>
    <t>83-9891</t>
  </si>
  <si>
    <t>MINIBUS</t>
  </si>
  <si>
    <t>JTEFA72880I070252</t>
  </si>
  <si>
    <t>N04V10840</t>
  </si>
  <si>
    <t>40-0939 ปท.</t>
  </si>
  <si>
    <t>JTGFA728206070764</t>
  </si>
  <si>
    <t>N04CVL11642</t>
  </si>
  <si>
    <t>40-0956 ปท.</t>
  </si>
  <si>
    <t>JTGFA728906070759</t>
  </si>
  <si>
    <t>N04CVL11648</t>
  </si>
  <si>
    <t>40-0957 ปท.</t>
  </si>
  <si>
    <t>TATA
ตรวจการได้ยิน</t>
  </si>
  <si>
    <t>MMH464643DZR00030</t>
  </si>
  <si>
    <t>JXY713565</t>
  </si>
  <si>
    <t>1ฒล-6684 กท.</t>
  </si>
  <si>
    <t>23/5/256</t>
  </si>
  <si>
    <t>MMH464643DZR00066</t>
  </si>
  <si>
    <t>NXY717763</t>
  </si>
  <si>
    <t>1ฒล-6685 กท.</t>
  </si>
  <si>
    <t>(ท่อเสียงดัง)</t>
  </si>
  <si>
    <t>TATA
ตรวจหู(ยกตู้ได้)</t>
  </si>
  <si>
    <t>MMH464633BZR03206</t>
  </si>
  <si>
    <t>DYY708384</t>
  </si>
  <si>
    <t>ฒฎ-4282 กท.</t>
  </si>
  <si>
    <t>7/10/256</t>
  </si>
  <si>
    <t>MMH464633AZR00100</t>
  </si>
  <si>
    <t>PQZ718845</t>
  </si>
  <si>
    <t>ถว-3024 กท.</t>
  </si>
  <si>
    <t>25/2/256</t>
  </si>
  <si>
    <t>MMH464643CZR03416</t>
  </si>
  <si>
    <t>JXY712295</t>
  </si>
  <si>
    <t>1ฒศ-6292 กท.</t>
  </si>
  <si>
    <t>22/7/256</t>
  </si>
  <si>
    <t>MMH464643DZR00116</t>
  </si>
  <si>
    <t>JXY713638</t>
  </si>
  <si>
    <t>1ฒศ-6295 กท.</t>
  </si>
  <si>
    <t>TATA
เอนกประสงค์</t>
  </si>
  <si>
    <t>MMH464633BZR03038</t>
  </si>
  <si>
    <t>DYY708508</t>
  </si>
  <si>
    <t>ฒฎ-4279 กท.</t>
  </si>
  <si>
    <t>MMH464633BZR03067</t>
  </si>
  <si>
    <t>DYY7084404</t>
  </si>
  <si>
    <t>ฒฎ-4276 กท.</t>
  </si>
  <si>
    <t>TOYOTA
รถตู้</t>
  </si>
  <si>
    <t>MMKSX22P508100598</t>
  </si>
  <si>
    <t>2TR1705763</t>
  </si>
  <si>
    <t xml:space="preserve">นค-7144 ปท. </t>
  </si>
  <si>
    <t>TOYOTA
รถตู้(VIP)</t>
  </si>
  <si>
    <t>XTFRT13P018010171</t>
  </si>
  <si>
    <t>1KD2669784</t>
  </si>
  <si>
    <t>ฮษ-4370 กท.</t>
  </si>
  <si>
    <t>TOYOTA
รถตู้(เฉพาะกิจ)</t>
  </si>
  <si>
    <t>MMKST22P105128086</t>
  </si>
  <si>
    <t>1KD-U991478</t>
  </si>
  <si>
    <t>กธ-4503 ปท.</t>
  </si>
  <si>
    <t>TOYOTA
กระบะ4ประตู</t>
  </si>
  <si>
    <t>MROEX19G103113575</t>
  </si>
  <si>
    <t>2TR-7569454</t>
  </si>
  <si>
    <t>3กง-2438 กท.</t>
  </si>
  <si>
    <t>TOYOTA
CAMRY (เก๋ง)</t>
  </si>
  <si>
    <t>MR053CK004010709</t>
  </si>
  <si>
    <t>2AR-U022919</t>
  </si>
  <si>
    <t>3กง-2872 กท.</t>
  </si>
  <si>
    <t>TOYOTA
CHR (เก๋ง)</t>
  </si>
  <si>
    <t>MR2KZ3BXX03016837</t>
  </si>
  <si>
    <t>2ZRX672604</t>
  </si>
  <si>
    <t>8กภ-413 กท.</t>
  </si>
  <si>
    <t>FORD
MASTANG (เก๋ง)</t>
  </si>
  <si>
    <t>IFA6P8LD8M5112045</t>
  </si>
  <si>
    <t>M5112045D</t>
  </si>
  <si>
    <t>8กษ8989 กท.</t>
  </si>
  <si>
    <t>MINI COOPER
 (เก๋ง)</t>
  </si>
  <si>
    <t>WMW12DJ0502867124</t>
  </si>
  <si>
    <t>F071A736</t>
  </si>
  <si>
    <t>9กพ9898 กท.</t>
  </si>
  <si>
    <t>PORSCHE</t>
  </si>
  <si>
    <t>WPOZZZ97ZPL121479</t>
  </si>
  <si>
    <t>046519</t>
  </si>
  <si>
    <t>9กฉ8998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</si>
</sst>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#,##0;[Red]#,##0"/>
    <numFmt numFmtId="188" formatCode="[$-101041E]d\ mmm\ yy;@"/>
  </numFmts>
  <fonts count="6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2"/>
      <color theme="1"/>
      <name val="TH Sarabun New"/>
      <family val="2"/>
    </font>
    <font>
      <sz val="11"/>
      <color theme="1"/>
      <name val="TH Sarabun New"/>
      <family val="2"/>
    </font>
    <font>
      <sz val="12"/>
      <color rgb="FFFF0000"/>
      <name val="TH Sarabun New"/>
      <family val="2"/>
    </font>
    <font>
      <sz val="12"/>
      <color theme="1"/>
      <name val="Wingdings 2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87" fontId="2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88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88" fontId="2" fillId="0" borderId="2" xfId="0" applyNumberFormat="1" applyFont="1" applyBorder="1" applyAlignment="1">
      <alignment horizontal="center" vertical="center"/>
    </xf>
    <xf numFmtId="188" fontId="2" fillId="7" borderId="2" xfId="0" applyNumberFormat="1" applyFont="1" applyFill="1" applyBorder="1" applyAlignment="1">
      <alignment horizontal="center" vertical="center"/>
    </xf>
    <xf numFmtId="187" fontId="2" fillId="0" borderId="2" xfId="0" applyNumberFormat="1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524996</xdr:colOff>
      <xdr:row>7</xdr:row>
      <xdr:rowOff>478490</xdr:rowOff>
    </xdr:from>
    <xdr:ext cx="65" cy="170239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8A568F99-B693-48C1-9BA0-8CE790DF75D5}"/>
            </a:ext>
          </a:extLst>
        </xdr:cNvPr>
        <xdr:cNvSpPr txBox="1"/>
      </xdr:nvSpPr>
      <xdr:spPr>
        <a:xfrm>
          <a:off x="11307296" y="439326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409E-A475-4F00-9BEE-130D49775548}">
  <dimension ref="A1:Z28"/>
  <sheetViews>
    <sheetView tabSelected="1" zoomScale="85" zoomScaleNormal="85" workbookViewId="0">
      <selection activeCell="H5" sqref="H5"/>
    </sheetView>
  </sheetViews>
  <sheetFormatPr defaultRowHeight="14.25" x14ac:dyDescent="0.2"/>
  <sheetData>
    <row r="1" spans="1:26" ht="24" x14ac:dyDescent="0.2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6"/>
      <c r="N1" s="6"/>
      <c r="O1" s="6"/>
      <c r="P1" s="6"/>
      <c r="Q1" s="6"/>
      <c r="R1" s="7"/>
      <c r="S1" s="8" t="s">
        <v>12</v>
      </c>
      <c r="T1" s="9"/>
      <c r="U1" s="9"/>
      <c r="V1" s="9"/>
      <c r="W1" s="9"/>
      <c r="X1" s="9"/>
      <c r="Y1" s="9"/>
      <c r="Z1" s="10"/>
    </row>
    <row r="2" spans="1:26" ht="24" x14ac:dyDescent="0.2">
      <c r="A2" s="11"/>
      <c r="B2" s="12"/>
      <c r="C2" s="11"/>
      <c r="D2" s="13"/>
      <c r="E2" s="11"/>
      <c r="F2" s="12"/>
      <c r="G2" s="12"/>
      <c r="H2" s="12"/>
      <c r="I2" s="12"/>
      <c r="J2" s="12"/>
      <c r="K2" s="4"/>
      <c r="L2" s="14" t="s">
        <v>13</v>
      </c>
      <c r="M2" s="14" t="s">
        <v>14</v>
      </c>
      <c r="N2" s="14" t="s">
        <v>15</v>
      </c>
      <c r="O2" s="14" t="s">
        <v>16</v>
      </c>
      <c r="P2" s="14" t="s">
        <v>17</v>
      </c>
      <c r="Q2" s="14" t="s">
        <v>18</v>
      </c>
      <c r="R2" s="14" t="s">
        <v>19</v>
      </c>
      <c r="S2" s="15" t="s">
        <v>14</v>
      </c>
      <c r="T2" s="15" t="s">
        <v>13</v>
      </c>
      <c r="U2" s="15" t="s">
        <v>20</v>
      </c>
      <c r="V2" s="15" t="s">
        <v>17</v>
      </c>
      <c r="W2" s="15" t="s">
        <v>15</v>
      </c>
      <c r="X2" s="15" t="s">
        <v>16</v>
      </c>
      <c r="Y2" s="15" t="s">
        <v>18</v>
      </c>
      <c r="Z2" s="15"/>
    </row>
    <row r="3" spans="1:26" ht="37.5" x14ac:dyDescent="0.2">
      <c r="A3" s="16">
        <v>1</v>
      </c>
      <c r="B3" s="17" t="s">
        <v>21</v>
      </c>
      <c r="C3" s="16" t="s">
        <v>22</v>
      </c>
      <c r="D3" s="18" t="s">
        <v>23</v>
      </c>
      <c r="E3" s="16" t="s">
        <v>24</v>
      </c>
      <c r="F3" s="19"/>
      <c r="G3" s="19"/>
      <c r="H3" s="20">
        <f>F3-G3</f>
        <v>0</v>
      </c>
      <c r="I3" s="21" t="s">
        <v>25</v>
      </c>
      <c r="J3" s="17"/>
      <c r="K3" s="22" t="s">
        <v>26</v>
      </c>
      <c r="L3" s="23"/>
      <c r="M3" s="23" t="s">
        <v>27</v>
      </c>
      <c r="N3" s="23"/>
      <c r="O3" s="23"/>
      <c r="P3" s="23"/>
      <c r="Q3" s="23"/>
      <c r="R3" s="22">
        <v>241611</v>
      </c>
      <c r="S3" s="23"/>
      <c r="T3" s="23"/>
      <c r="U3" s="23"/>
      <c r="V3" s="23"/>
      <c r="W3" s="23"/>
      <c r="X3" s="23"/>
      <c r="Y3" s="23"/>
      <c r="Z3" s="22">
        <v>241464</v>
      </c>
    </row>
    <row r="4" spans="1:26" ht="37.5" x14ac:dyDescent="0.2">
      <c r="A4" s="16">
        <v>2</v>
      </c>
      <c r="B4" s="17" t="s">
        <v>28</v>
      </c>
      <c r="C4" s="16" t="s">
        <v>29</v>
      </c>
      <c r="D4" s="24" t="s">
        <v>30</v>
      </c>
      <c r="E4" s="16" t="s">
        <v>31</v>
      </c>
      <c r="F4" s="19">
        <v>518562</v>
      </c>
      <c r="G4" s="19">
        <v>498562</v>
      </c>
      <c r="H4" s="20">
        <f t="shared" ref="H4:H25" si="0">F4-G4</f>
        <v>20000</v>
      </c>
      <c r="I4" s="16" t="s">
        <v>32</v>
      </c>
      <c r="J4" s="17"/>
      <c r="K4" s="25" t="s">
        <v>33</v>
      </c>
      <c r="L4" s="23"/>
      <c r="M4" s="23" t="s">
        <v>27</v>
      </c>
      <c r="N4" s="23"/>
      <c r="O4" s="23"/>
      <c r="P4" s="23"/>
      <c r="Q4" s="23"/>
      <c r="R4" s="25">
        <v>244074</v>
      </c>
      <c r="S4" s="23" t="s">
        <v>27</v>
      </c>
      <c r="T4" s="23"/>
      <c r="U4" s="23"/>
      <c r="V4" s="23"/>
      <c r="W4" s="23"/>
      <c r="X4" s="23"/>
      <c r="Y4" s="23"/>
      <c r="Z4" s="25">
        <v>244074</v>
      </c>
    </row>
    <row r="5" spans="1:26" ht="37.5" x14ac:dyDescent="0.2">
      <c r="A5" s="16">
        <v>3</v>
      </c>
      <c r="B5" s="17" t="s">
        <v>28</v>
      </c>
      <c r="C5" s="16" t="s">
        <v>34</v>
      </c>
      <c r="D5" s="24" t="s">
        <v>35</v>
      </c>
      <c r="E5" s="16" t="s">
        <v>36</v>
      </c>
      <c r="F5" s="19">
        <v>164796</v>
      </c>
      <c r="G5" s="19">
        <v>162779</v>
      </c>
      <c r="H5" s="20">
        <f>F5-G5</f>
        <v>2017</v>
      </c>
      <c r="I5" s="16" t="s">
        <v>32</v>
      </c>
      <c r="J5" s="16"/>
      <c r="K5" s="25">
        <v>244530</v>
      </c>
      <c r="L5" s="23"/>
      <c r="M5" s="23" t="s">
        <v>27</v>
      </c>
      <c r="N5" s="23"/>
      <c r="O5" s="23"/>
      <c r="P5" s="23"/>
      <c r="Q5" s="23"/>
      <c r="R5" s="25">
        <v>244163</v>
      </c>
      <c r="S5" s="23" t="s">
        <v>27</v>
      </c>
      <c r="T5" s="23"/>
      <c r="U5" s="23"/>
      <c r="V5" s="23"/>
      <c r="W5" s="23"/>
      <c r="X5" s="23"/>
      <c r="Y5" s="23"/>
      <c r="Z5" s="25">
        <v>244163</v>
      </c>
    </row>
    <row r="6" spans="1:26" ht="37.5" x14ac:dyDescent="0.2">
      <c r="A6" s="16">
        <v>4</v>
      </c>
      <c r="B6" s="17" t="s">
        <v>28</v>
      </c>
      <c r="C6" s="16" t="s">
        <v>37</v>
      </c>
      <c r="D6" s="24" t="s">
        <v>38</v>
      </c>
      <c r="E6" s="16" t="s">
        <v>39</v>
      </c>
      <c r="F6" s="19">
        <v>116130</v>
      </c>
      <c r="G6" s="19">
        <v>117920</v>
      </c>
      <c r="H6" s="20">
        <f t="shared" si="0"/>
        <v>-1790</v>
      </c>
      <c r="I6" s="16" t="s">
        <v>32</v>
      </c>
      <c r="J6" s="16"/>
      <c r="K6" s="25">
        <v>244439</v>
      </c>
      <c r="L6" s="23"/>
      <c r="M6" s="23" t="s">
        <v>27</v>
      </c>
      <c r="N6" s="23"/>
      <c r="O6" s="23"/>
      <c r="P6" s="23"/>
      <c r="Q6" s="23"/>
      <c r="R6" s="25">
        <v>244439</v>
      </c>
      <c r="S6" s="23" t="s">
        <v>27</v>
      </c>
      <c r="T6" s="23"/>
      <c r="U6" s="23"/>
      <c r="V6" s="23"/>
      <c r="W6" s="23"/>
      <c r="X6" s="23"/>
      <c r="Y6" s="23"/>
      <c r="Z6" s="25">
        <v>244074</v>
      </c>
    </row>
    <row r="7" spans="1:26" ht="37.5" x14ac:dyDescent="0.2">
      <c r="A7" s="16">
        <v>5</v>
      </c>
      <c r="B7" s="17" t="s">
        <v>28</v>
      </c>
      <c r="C7" s="16" t="s">
        <v>40</v>
      </c>
      <c r="D7" s="24" t="s">
        <v>41</v>
      </c>
      <c r="E7" s="16" t="s">
        <v>42</v>
      </c>
      <c r="F7" s="19">
        <v>40000</v>
      </c>
      <c r="G7" s="19">
        <v>32227</v>
      </c>
      <c r="H7" s="20">
        <f>F7-G7</f>
        <v>7773</v>
      </c>
      <c r="I7" s="16" t="s">
        <v>32</v>
      </c>
      <c r="J7" s="16"/>
      <c r="K7" s="25">
        <v>244622</v>
      </c>
      <c r="L7" s="23"/>
      <c r="M7" s="23" t="s">
        <v>27</v>
      </c>
      <c r="N7" s="23"/>
      <c r="O7" s="23"/>
      <c r="P7" s="23"/>
      <c r="Q7" s="23"/>
      <c r="R7" s="25">
        <v>244101</v>
      </c>
      <c r="S7" s="23" t="s">
        <v>27</v>
      </c>
      <c r="T7" s="23"/>
      <c r="U7" s="23"/>
      <c r="V7" s="23"/>
      <c r="W7" s="23"/>
      <c r="X7" s="23"/>
      <c r="Y7" s="23"/>
      <c r="Z7" s="25">
        <v>244101</v>
      </c>
    </row>
    <row r="8" spans="1:26" ht="37.5" x14ac:dyDescent="0.2">
      <c r="A8" s="16">
        <v>6</v>
      </c>
      <c r="B8" s="17" t="s">
        <v>28</v>
      </c>
      <c r="C8" s="16" t="s">
        <v>43</v>
      </c>
      <c r="D8" s="24" t="s">
        <v>44</v>
      </c>
      <c r="E8" s="16" t="s">
        <v>45</v>
      </c>
      <c r="F8" s="19">
        <v>36420</v>
      </c>
      <c r="G8" s="19">
        <v>44268</v>
      </c>
      <c r="H8" s="20">
        <f>F8-G8</f>
        <v>-7848</v>
      </c>
      <c r="I8" s="16" t="s">
        <v>32</v>
      </c>
      <c r="J8" s="16"/>
      <c r="K8" s="25">
        <v>244530</v>
      </c>
      <c r="L8" s="23"/>
      <c r="M8" s="23" t="s">
        <v>27</v>
      </c>
      <c r="N8" s="23"/>
      <c r="O8" s="23"/>
      <c r="P8" s="23"/>
      <c r="Q8" s="23"/>
      <c r="R8" s="25">
        <v>244165</v>
      </c>
      <c r="S8" s="23" t="s">
        <v>27</v>
      </c>
      <c r="T8" s="23"/>
      <c r="U8" s="23"/>
      <c r="V8" s="23"/>
      <c r="W8" s="23"/>
      <c r="X8" s="23"/>
      <c r="Y8" s="23"/>
      <c r="Z8" s="25">
        <v>243931</v>
      </c>
    </row>
    <row r="9" spans="1:26" ht="18.75" x14ac:dyDescent="0.2">
      <c r="A9" s="16">
        <v>7</v>
      </c>
      <c r="B9" s="17" t="s">
        <v>46</v>
      </c>
      <c r="C9" s="16" t="s">
        <v>47</v>
      </c>
      <c r="D9" s="24" t="s">
        <v>48</v>
      </c>
      <c r="E9" s="16" t="s">
        <v>49</v>
      </c>
      <c r="F9" s="19">
        <v>54142</v>
      </c>
      <c r="G9" s="19">
        <v>63343</v>
      </c>
      <c r="H9" s="20">
        <f>F9-G9</f>
        <v>-9201</v>
      </c>
      <c r="I9" s="16" t="s">
        <v>32</v>
      </c>
      <c r="J9" s="16"/>
      <c r="K9" s="25">
        <v>244622</v>
      </c>
      <c r="L9" s="23"/>
      <c r="M9" s="23" t="s">
        <v>27</v>
      </c>
      <c r="N9" s="23"/>
      <c r="O9" s="23"/>
      <c r="P9" s="23"/>
      <c r="Q9" s="23"/>
      <c r="R9" s="25">
        <v>244148</v>
      </c>
      <c r="S9" s="23" t="s">
        <v>27</v>
      </c>
      <c r="T9" s="23"/>
      <c r="U9" s="23"/>
      <c r="V9" s="23"/>
      <c r="W9" s="23"/>
      <c r="X9" s="23"/>
      <c r="Y9" s="23"/>
      <c r="Z9" s="25">
        <v>244148</v>
      </c>
    </row>
    <row r="10" spans="1:26" ht="18.75" x14ac:dyDescent="0.2">
      <c r="A10" s="16">
        <v>8</v>
      </c>
      <c r="B10" s="17" t="s">
        <v>46</v>
      </c>
      <c r="C10" s="16" t="s">
        <v>50</v>
      </c>
      <c r="D10" s="24" t="s">
        <v>51</v>
      </c>
      <c r="E10" s="16" t="s">
        <v>52</v>
      </c>
      <c r="F10" s="19"/>
      <c r="G10" s="19"/>
      <c r="H10" s="20"/>
      <c r="I10" s="16" t="s">
        <v>32</v>
      </c>
      <c r="J10" s="16"/>
      <c r="K10" s="25">
        <v>244530</v>
      </c>
      <c r="L10" s="23"/>
      <c r="M10" s="23" t="s">
        <v>27</v>
      </c>
      <c r="N10" s="23"/>
      <c r="O10" s="23"/>
      <c r="P10" s="23"/>
      <c r="Q10" s="23"/>
      <c r="R10" s="25">
        <v>244163</v>
      </c>
      <c r="S10" s="23" t="s">
        <v>27</v>
      </c>
      <c r="T10" s="23"/>
      <c r="U10" s="23"/>
      <c r="V10" s="23"/>
      <c r="W10" s="23"/>
      <c r="X10" s="23"/>
      <c r="Y10" s="23"/>
      <c r="Z10" s="25">
        <v>244163</v>
      </c>
    </row>
    <row r="11" spans="1:26" ht="18.75" x14ac:dyDescent="0.2">
      <c r="A11" s="16">
        <v>9</v>
      </c>
      <c r="B11" s="17" t="s">
        <v>46</v>
      </c>
      <c r="C11" s="16" t="s">
        <v>53</v>
      </c>
      <c r="D11" s="24" t="s">
        <v>54</v>
      </c>
      <c r="E11" s="16" t="s">
        <v>55</v>
      </c>
      <c r="F11" s="19"/>
      <c r="G11" s="19"/>
      <c r="H11" s="20"/>
      <c r="I11" s="16" t="s">
        <v>32</v>
      </c>
      <c r="J11" s="16"/>
      <c r="K11" s="25">
        <v>244530</v>
      </c>
      <c r="L11" s="23"/>
      <c r="M11" s="23" t="s">
        <v>27</v>
      </c>
      <c r="N11" s="23"/>
      <c r="O11" s="23"/>
      <c r="P11" s="23"/>
      <c r="Q11" s="23"/>
      <c r="R11" s="25">
        <v>244163</v>
      </c>
      <c r="S11" s="23" t="s">
        <v>27</v>
      </c>
      <c r="T11" s="23"/>
      <c r="U11" s="23"/>
      <c r="V11" s="23"/>
      <c r="W11" s="23"/>
      <c r="X11" s="23"/>
      <c r="Y11" s="23"/>
      <c r="Z11" s="25">
        <v>244163</v>
      </c>
    </row>
    <row r="12" spans="1:26" ht="37.5" x14ac:dyDescent="0.2">
      <c r="A12" s="16">
        <v>10</v>
      </c>
      <c r="B12" s="17" t="s">
        <v>56</v>
      </c>
      <c r="C12" s="16" t="s">
        <v>57</v>
      </c>
      <c r="D12" s="24" t="s">
        <v>58</v>
      </c>
      <c r="E12" s="16" t="s">
        <v>59</v>
      </c>
      <c r="F12" s="19">
        <v>97191</v>
      </c>
      <c r="G12" s="19">
        <v>126183</v>
      </c>
      <c r="H12" s="20">
        <f t="shared" si="0"/>
        <v>-28992</v>
      </c>
      <c r="I12" s="16" t="s">
        <v>32</v>
      </c>
      <c r="J12" s="17"/>
      <c r="K12" s="26" t="s">
        <v>60</v>
      </c>
      <c r="L12" s="23" t="s">
        <v>27</v>
      </c>
      <c r="M12" s="23"/>
      <c r="N12" s="23"/>
      <c r="O12" s="23"/>
      <c r="P12" s="23"/>
      <c r="Q12" s="23"/>
      <c r="R12" s="25">
        <v>244096</v>
      </c>
      <c r="S12" s="23"/>
      <c r="T12" s="23" t="s">
        <v>27</v>
      </c>
      <c r="U12" s="23"/>
      <c r="V12" s="23"/>
      <c r="W12" s="23"/>
      <c r="X12" s="23"/>
      <c r="Y12" s="23"/>
      <c r="Z12" s="25">
        <v>244096</v>
      </c>
    </row>
    <row r="13" spans="1:26" ht="37.5" x14ac:dyDescent="0.2">
      <c r="A13" s="16">
        <v>11</v>
      </c>
      <c r="B13" s="17" t="s">
        <v>56</v>
      </c>
      <c r="C13" s="16" t="s">
        <v>61</v>
      </c>
      <c r="D13" s="24" t="s">
        <v>62</v>
      </c>
      <c r="E13" s="16" t="s">
        <v>63</v>
      </c>
      <c r="F13" s="19">
        <v>95500</v>
      </c>
      <c r="G13" s="19">
        <v>108150</v>
      </c>
      <c r="H13" s="20">
        <f>F13-G13</f>
        <v>-12650</v>
      </c>
      <c r="I13" s="16" t="s">
        <v>32</v>
      </c>
      <c r="J13" s="16" t="s">
        <v>64</v>
      </c>
      <c r="K13" s="26" t="s">
        <v>60</v>
      </c>
      <c r="L13" s="23" t="s">
        <v>27</v>
      </c>
      <c r="M13" s="23"/>
      <c r="N13" s="23"/>
      <c r="O13" s="23"/>
      <c r="P13" s="23"/>
      <c r="Q13" s="23"/>
      <c r="R13" s="25">
        <v>244096</v>
      </c>
      <c r="S13" s="23"/>
      <c r="T13" s="23" t="s">
        <v>27</v>
      </c>
      <c r="U13" s="23"/>
      <c r="V13" s="23"/>
      <c r="W13" s="23"/>
      <c r="X13" s="23"/>
      <c r="Y13" s="23"/>
      <c r="Z13" s="25">
        <v>244096</v>
      </c>
    </row>
    <row r="14" spans="1:26" ht="37.5" x14ac:dyDescent="0.2">
      <c r="A14" s="16">
        <v>12</v>
      </c>
      <c r="B14" s="17" t="s">
        <v>65</v>
      </c>
      <c r="C14" s="16" t="s">
        <v>66</v>
      </c>
      <c r="D14" s="24" t="s">
        <v>67</v>
      </c>
      <c r="E14" s="16" t="s">
        <v>68</v>
      </c>
      <c r="F14" s="19">
        <v>146756</v>
      </c>
      <c r="G14" s="19">
        <v>153176</v>
      </c>
      <c r="H14" s="20">
        <f t="shared" si="0"/>
        <v>-6420</v>
      </c>
      <c r="I14" s="16" t="s">
        <v>32</v>
      </c>
      <c r="J14" s="16"/>
      <c r="K14" s="26" t="s">
        <v>69</v>
      </c>
      <c r="L14" s="23"/>
      <c r="M14" s="23"/>
      <c r="N14" s="23"/>
      <c r="O14" s="23" t="s">
        <v>27</v>
      </c>
      <c r="P14" s="23"/>
      <c r="Q14" s="23"/>
      <c r="R14" s="25">
        <v>244238</v>
      </c>
      <c r="S14" s="23"/>
      <c r="T14" s="23"/>
      <c r="U14" s="23"/>
      <c r="V14" s="23"/>
      <c r="W14" s="23"/>
      <c r="X14" s="23" t="s">
        <v>27</v>
      </c>
      <c r="Y14" s="23"/>
      <c r="Z14" s="25">
        <v>243872</v>
      </c>
    </row>
    <row r="15" spans="1:26" ht="37.5" x14ac:dyDescent="0.2">
      <c r="A15" s="16">
        <v>13</v>
      </c>
      <c r="B15" s="17" t="s">
        <v>65</v>
      </c>
      <c r="C15" s="16" t="s">
        <v>70</v>
      </c>
      <c r="D15" s="24" t="s">
        <v>71</v>
      </c>
      <c r="E15" s="16" t="s">
        <v>72</v>
      </c>
      <c r="F15" s="19">
        <v>227155</v>
      </c>
      <c r="G15" s="19">
        <v>227554</v>
      </c>
      <c r="H15" s="20">
        <f t="shared" si="0"/>
        <v>-399</v>
      </c>
      <c r="I15" s="16" t="s">
        <v>32</v>
      </c>
      <c r="J15" s="16"/>
      <c r="K15" s="26" t="s">
        <v>73</v>
      </c>
      <c r="L15" s="23" t="s">
        <v>27</v>
      </c>
      <c r="M15" s="23"/>
      <c r="N15" s="23"/>
      <c r="O15" s="23"/>
      <c r="P15" s="23"/>
      <c r="Q15" s="23"/>
      <c r="R15" s="25">
        <v>244011</v>
      </c>
      <c r="S15" s="23"/>
      <c r="T15" s="23" t="s">
        <v>27</v>
      </c>
      <c r="U15" s="23"/>
      <c r="V15" s="23"/>
      <c r="W15" s="23"/>
      <c r="X15" s="23"/>
      <c r="Y15" s="23"/>
      <c r="Z15" s="25">
        <v>244011</v>
      </c>
    </row>
    <row r="16" spans="1:26" ht="37.5" x14ac:dyDescent="0.2">
      <c r="A16" s="16">
        <v>14</v>
      </c>
      <c r="B16" s="17" t="s">
        <v>65</v>
      </c>
      <c r="C16" s="16" t="s">
        <v>74</v>
      </c>
      <c r="D16" s="24" t="s">
        <v>75</v>
      </c>
      <c r="E16" s="16" t="s">
        <v>76</v>
      </c>
      <c r="F16" s="19">
        <v>115759</v>
      </c>
      <c r="G16" s="19">
        <v>105759</v>
      </c>
      <c r="H16" s="20">
        <f t="shared" si="0"/>
        <v>10000</v>
      </c>
      <c r="I16" s="16" t="s">
        <v>32</v>
      </c>
      <c r="J16" s="16"/>
      <c r="K16" s="25" t="s">
        <v>77</v>
      </c>
      <c r="L16" s="23" t="s">
        <v>27</v>
      </c>
      <c r="M16" s="23"/>
      <c r="N16" s="23"/>
      <c r="O16" s="23"/>
      <c r="P16" s="23"/>
      <c r="Q16" s="23"/>
      <c r="R16" s="25">
        <v>244117</v>
      </c>
      <c r="S16" s="23"/>
      <c r="T16" s="23" t="s">
        <v>27</v>
      </c>
      <c r="U16" s="23"/>
      <c r="V16" s="23"/>
      <c r="W16" s="23"/>
      <c r="X16" s="23"/>
      <c r="Y16" s="23"/>
      <c r="Z16" s="25">
        <v>244117</v>
      </c>
    </row>
    <row r="17" spans="1:26" ht="37.5" x14ac:dyDescent="0.2">
      <c r="A17" s="16">
        <v>15</v>
      </c>
      <c r="B17" s="17" t="s">
        <v>65</v>
      </c>
      <c r="C17" s="16" t="s">
        <v>78</v>
      </c>
      <c r="D17" s="24" t="s">
        <v>79</v>
      </c>
      <c r="E17" s="16" t="s">
        <v>80</v>
      </c>
      <c r="F17" s="19">
        <v>86008</v>
      </c>
      <c r="G17" s="19">
        <v>126488</v>
      </c>
      <c r="H17" s="20">
        <f>F17-G17</f>
        <v>-40480</v>
      </c>
      <c r="I17" s="16" t="s">
        <v>32</v>
      </c>
      <c r="J17" s="16"/>
      <c r="K17" s="25" t="s">
        <v>77</v>
      </c>
      <c r="L17" s="23" t="s">
        <v>27</v>
      </c>
      <c r="M17" s="23"/>
      <c r="N17" s="23"/>
      <c r="O17" s="23"/>
      <c r="P17" s="23"/>
      <c r="Q17" s="23"/>
      <c r="R17" s="25">
        <v>244117</v>
      </c>
      <c r="S17" s="23"/>
      <c r="T17" s="23" t="s">
        <v>27</v>
      </c>
      <c r="U17" s="23"/>
      <c r="V17" s="23"/>
      <c r="W17" s="23"/>
      <c r="X17" s="23"/>
      <c r="Y17" s="23"/>
      <c r="Z17" s="25">
        <v>244117</v>
      </c>
    </row>
    <row r="18" spans="1:26" ht="37.5" x14ac:dyDescent="0.2">
      <c r="A18" s="16">
        <v>16</v>
      </c>
      <c r="B18" s="17" t="s">
        <v>81</v>
      </c>
      <c r="C18" s="16" t="s">
        <v>82</v>
      </c>
      <c r="D18" s="24" t="s">
        <v>83</v>
      </c>
      <c r="E18" s="16" t="s">
        <v>84</v>
      </c>
      <c r="F18" s="19">
        <v>120000</v>
      </c>
      <c r="G18" s="19">
        <v>112000</v>
      </c>
      <c r="H18" s="20">
        <f t="shared" si="0"/>
        <v>8000</v>
      </c>
      <c r="I18" s="16" t="s">
        <v>32</v>
      </c>
      <c r="J18" s="16"/>
      <c r="K18" s="26" t="s">
        <v>69</v>
      </c>
      <c r="L18" s="23"/>
      <c r="M18" s="23"/>
      <c r="N18" s="23"/>
      <c r="O18" s="23" t="s">
        <v>27</v>
      </c>
      <c r="P18" s="23"/>
      <c r="Q18" s="23"/>
      <c r="R18" s="25">
        <v>244238</v>
      </c>
      <c r="S18" s="23"/>
      <c r="T18" s="23"/>
      <c r="U18" s="23"/>
      <c r="V18" s="23"/>
      <c r="W18" s="23"/>
      <c r="X18" s="23" t="s">
        <v>27</v>
      </c>
      <c r="Y18" s="23"/>
      <c r="Z18" s="25">
        <v>243872</v>
      </c>
    </row>
    <row r="19" spans="1:26" ht="37.5" x14ac:dyDescent="0.2">
      <c r="A19" s="16">
        <v>17</v>
      </c>
      <c r="B19" s="17" t="s">
        <v>81</v>
      </c>
      <c r="C19" s="16" t="s">
        <v>85</v>
      </c>
      <c r="D19" s="24" t="s">
        <v>86</v>
      </c>
      <c r="E19" s="16" t="s">
        <v>87</v>
      </c>
      <c r="F19" s="19">
        <v>140000</v>
      </c>
      <c r="G19" s="19">
        <v>135443</v>
      </c>
      <c r="H19" s="20">
        <f t="shared" si="0"/>
        <v>4557</v>
      </c>
      <c r="I19" s="16" t="s">
        <v>32</v>
      </c>
      <c r="J19" s="16"/>
      <c r="K19" s="26" t="s">
        <v>69</v>
      </c>
      <c r="L19" s="23"/>
      <c r="M19" s="23"/>
      <c r="N19" s="23"/>
      <c r="O19" s="23" t="s">
        <v>27</v>
      </c>
      <c r="P19" s="23"/>
      <c r="Q19" s="23"/>
      <c r="R19" s="25">
        <v>244238</v>
      </c>
      <c r="S19" s="23"/>
      <c r="T19" s="23"/>
      <c r="U19" s="23"/>
      <c r="V19" s="23"/>
      <c r="W19" s="23"/>
      <c r="X19" s="23" t="s">
        <v>27</v>
      </c>
      <c r="Y19" s="23"/>
      <c r="Z19" s="25">
        <v>243872</v>
      </c>
    </row>
    <row r="20" spans="1:26" ht="37.5" x14ac:dyDescent="0.2">
      <c r="A20" s="16">
        <v>18</v>
      </c>
      <c r="B20" s="17" t="s">
        <v>88</v>
      </c>
      <c r="C20" s="16" t="s">
        <v>89</v>
      </c>
      <c r="D20" s="24" t="s">
        <v>90</v>
      </c>
      <c r="E20" s="16" t="s">
        <v>91</v>
      </c>
      <c r="F20" s="19">
        <v>192572</v>
      </c>
      <c r="G20" s="19">
        <v>182572</v>
      </c>
      <c r="H20" s="20">
        <f>F20-G20</f>
        <v>10000</v>
      </c>
      <c r="I20" s="16" t="s">
        <v>32</v>
      </c>
      <c r="J20" s="16"/>
      <c r="K20" s="25">
        <v>244524</v>
      </c>
      <c r="L20" s="23"/>
      <c r="M20" s="23"/>
      <c r="N20" s="23"/>
      <c r="O20" s="23" t="s">
        <v>27</v>
      </c>
      <c r="P20" s="23"/>
      <c r="Q20" s="23"/>
      <c r="R20" s="25">
        <v>244159</v>
      </c>
      <c r="S20" s="23"/>
      <c r="T20" s="23"/>
      <c r="U20" s="23"/>
      <c r="V20" s="23"/>
      <c r="W20" s="23"/>
      <c r="X20" s="23" t="s">
        <v>27</v>
      </c>
      <c r="Y20" s="23"/>
      <c r="Z20" s="25">
        <v>243944</v>
      </c>
    </row>
    <row r="21" spans="1:26" ht="37.5" x14ac:dyDescent="0.2">
      <c r="A21" s="16">
        <v>19</v>
      </c>
      <c r="B21" s="17" t="s">
        <v>92</v>
      </c>
      <c r="C21" s="16" t="s">
        <v>93</v>
      </c>
      <c r="D21" s="24" t="s">
        <v>94</v>
      </c>
      <c r="E21" s="16" t="s">
        <v>95</v>
      </c>
      <c r="F21" s="19">
        <v>166402</v>
      </c>
      <c r="G21" s="19">
        <v>157642</v>
      </c>
      <c r="H21" s="20">
        <f t="shared" si="0"/>
        <v>8760</v>
      </c>
      <c r="I21" s="16" t="s">
        <v>32</v>
      </c>
      <c r="J21" s="16"/>
      <c r="K21" s="25">
        <v>244480</v>
      </c>
      <c r="L21" s="23"/>
      <c r="M21" s="23"/>
      <c r="N21" s="23"/>
      <c r="O21" s="23" t="s">
        <v>27</v>
      </c>
      <c r="P21" s="23"/>
      <c r="Q21" s="23"/>
      <c r="R21" s="25">
        <v>244115</v>
      </c>
      <c r="S21" s="23"/>
      <c r="T21" s="23"/>
      <c r="U21" s="23"/>
      <c r="V21" s="23"/>
      <c r="W21" s="23"/>
      <c r="X21" s="23" t="s">
        <v>27</v>
      </c>
      <c r="Y21" s="23"/>
      <c r="Z21" s="25">
        <v>244115</v>
      </c>
    </row>
    <row r="22" spans="1:26" ht="37.5" x14ac:dyDescent="0.2">
      <c r="A22" s="16">
        <v>20</v>
      </c>
      <c r="B22" s="17" t="s">
        <v>96</v>
      </c>
      <c r="C22" s="16" t="s">
        <v>97</v>
      </c>
      <c r="D22" s="24" t="s">
        <v>98</v>
      </c>
      <c r="E22" s="16" t="s">
        <v>99</v>
      </c>
      <c r="F22" s="19">
        <v>10000</v>
      </c>
      <c r="G22" s="19">
        <v>240</v>
      </c>
      <c r="H22" s="20">
        <f t="shared" si="0"/>
        <v>9760</v>
      </c>
      <c r="I22" s="16" t="s">
        <v>32</v>
      </c>
      <c r="J22" s="16"/>
      <c r="K22" s="25">
        <v>244722</v>
      </c>
      <c r="L22" s="23"/>
      <c r="M22" s="23" t="s">
        <v>27</v>
      </c>
      <c r="N22" s="23"/>
      <c r="O22" s="23"/>
      <c r="P22" s="23"/>
      <c r="Q22" s="23"/>
      <c r="R22" s="25">
        <v>244074</v>
      </c>
      <c r="S22" s="23" t="s">
        <v>27</v>
      </c>
      <c r="T22" s="23"/>
      <c r="U22" s="23"/>
      <c r="V22" s="23"/>
      <c r="W22" s="23"/>
      <c r="X22" s="23"/>
      <c r="Y22" s="23"/>
      <c r="Z22" s="25">
        <v>244074</v>
      </c>
    </row>
    <row r="23" spans="1:26" ht="37.5" x14ac:dyDescent="0.2">
      <c r="A23" s="16">
        <v>21</v>
      </c>
      <c r="B23" s="17" t="s">
        <v>100</v>
      </c>
      <c r="C23" s="16" t="s">
        <v>101</v>
      </c>
      <c r="D23" s="24" t="s">
        <v>102</v>
      </c>
      <c r="E23" s="16" t="s">
        <v>103</v>
      </c>
      <c r="F23" s="19">
        <v>418201</v>
      </c>
      <c r="G23" s="19">
        <v>431611</v>
      </c>
      <c r="H23" s="20">
        <f t="shared" si="0"/>
        <v>-13410</v>
      </c>
      <c r="I23" s="16" t="s">
        <v>32</v>
      </c>
      <c r="J23" s="16"/>
      <c r="K23" s="25">
        <v>244485</v>
      </c>
      <c r="L23" s="23"/>
      <c r="M23" s="23"/>
      <c r="N23" s="23"/>
      <c r="O23" s="23" t="s">
        <v>27</v>
      </c>
      <c r="P23" s="23"/>
      <c r="Q23" s="23"/>
      <c r="R23" s="25">
        <v>244014</v>
      </c>
      <c r="S23" s="23"/>
      <c r="T23" s="23"/>
      <c r="U23" s="23"/>
      <c r="V23" s="23"/>
      <c r="W23" s="23"/>
      <c r="X23" s="23" t="s">
        <v>27</v>
      </c>
      <c r="Y23" s="23"/>
      <c r="Z23" s="25">
        <v>244014</v>
      </c>
    </row>
    <row r="24" spans="1:26" ht="37.5" x14ac:dyDescent="0.2">
      <c r="A24" s="16">
        <v>22</v>
      </c>
      <c r="B24" s="17" t="s">
        <v>104</v>
      </c>
      <c r="C24" s="16" t="s">
        <v>105</v>
      </c>
      <c r="D24" s="24" t="s">
        <v>106</v>
      </c>
      <c r="E24" s="16" t="s">
        <v>107</v>
      </c>
      <c r="F24" s="19">
        <v>280581</v>
      </c>
      <c r="G24" s="19">
        <v>270581</v>
      </c>
      <c r="H24" s="20">
        <f>F24-G24</f>
        <v>10000</v>
      </c>
      <c r="I24" s="16" t="s">
        <v>32</v>
      </c>
      <c r="J24" s="16"/>
      <c r="K24" s="25">
        <v>244462</v>
      </c>
      <c r="L24" s="23"/>
      <c r="M24" s="23"/>
      <c r="N24" s="23"/>
      <c r="O24" s="23" t="s">
        <v>27</v>
      </c>
      <c r="P24" s="23"/>
      <c r="Q24" s="23"/>
      <c r="R24" s="25">
        <v>244014</v>
      </c>
      <c r="S24" s="23"/>
      <c r="T24" s="23"/>
      <c r="U24" s="23"/>
      <c r="V24" s="23"/>
      <c r="W24" s="23"/>
      <c r="X24" s="23" t="s">
        <v>27</v>
      </c>
      <c r="Y24" s="23"/>
      <c r="Z24" s="25">
        <v>244014</v>
      </c>
    </row>
    <row r="25" spans="1:26" ht="37.5" x14ac:dyDescent="0.2">
      <c r="A25" s="16">
        <v>23</v>
      </c>
      <c r="B25" s="17" t="s">
        <v>108</v>
      </c>
      <c r="C25" s="16" t="s">
        <v>109</v>
      </c>
      <c r="D25" s="24" t="s">
        <v>110</v>
      </c>
      <c r="E25" s="16" t="s">
        <v>111</v>
      </c>
      <c r="F25" s="19">
        <v>21362</v>
      </c>
      <c r="G25" s="19">
        <v>11362</v>
      </c>
      <c r="H25" s="20">
        <f t="shared" si="0"/>
        <v>10000</v>
      </c>
      <c r="I25" s="16" t="s">
        <v>32</v>
      </c>
      <c r="J25" s="16"/>
      <c r="K25" s="25">
        <v>244528</v>
      </c>
      <c r="L25" s="23"/>
      <c r="M25" s="23"/>
      <c r="N25" s="23"/>
      <c r="O25" s="23"/>
      <c r="P25" s="23"/>
      <c r="Q25" s="23" t="s">
        <v>27</v>
      </c>
      <c r="R25" s="25">
        <v>244132</v>
      </c>
      <c r="S25" s="23"/>
      <c r="T25" s="23"/>
      <c r="U25" s="23"/>
      <c r="V25" s="23"/>
      <c r="W25" s="23"/>
      <c r="X25" s="23"/>
      <c r="Y25" s="23" t="s">
        <v>27</v>
      </c>
      <c r="Z25" s="25">
        <v>244132</v>
      </c>
    </row>
    <row r="26" spans="1:26" ht="56.25" x14ac:dyDescent="0.2">
      <c r="A26" s="16">
        <v>24</v>
      </c>
      <c r="B26" s="17" t="s">
        <v>112</v>
      </c>
      <c r="C26" s="16" t="s">
        <v>113</v>
      </c>
      <c r="D26" s="24" t="s">
        <v>114</v>
      </c>
      <c r="E26" s="16" t="s">
        <v>115</v>
      </c>
      <c r="F26" s="19"/>
      <c r="G26" s="19"/>
      <c r="H26" s="20"/>
      <c r="I26" s="16" t="s">
        <v>32</v>
      </c>
      <c r="J26" s="16"/>
      <c r="K26" s="25">
        <v>244675</v>
      </c>
      <c r="L26" s="23"/>
      <c r="M26" s="23"/>
      <c r="N26" s="23"/>
      <c r="O26" s="23"/>
      <c r="P26" s="23"/>
      <c r="Q26" s="23"/>
      <c r="R26" s="25"/>
      <c r="S26" s="23"/>
      <c r="T26" s="23"/>
      <c r="U26" s="23"/>
      <c r="V26" s="23"/>
      <c r="W26" s="23"/>
      <c r="X26" s="23"/>
      <c r="Y26" s="23"/>
      <c r="Z26" s="25"/>
    </row>
    <row r="27" spans="1:26" ht="37.5" x14ac:dyDescent="0.2">
      <c r="A27" s="16">
        <v>25</v>
      </c>
      <c r="B27" s="17" t="s">
        <v>116</v>
      </c>
      <c r="C27" s="16" t="s">
        <v>117</v>
      </c>
      <c r="D27" s="24" t="s">
        <v>118</v>
      </c>
      <c r="E27" s="16" t="s">
        <v>119</v>
      </c>
      <c r="F27" s="19"/>
      <c r="G27" s="19"/>
      <c r="H27" s="20"/>
      <c r="I27" s="16" t="s">
        <v>32</v>
      </c>
      <c r="J27" s="16"/>
      <c r="K27" s="25">
        <v>244681</v>
      </c>
      <c r="L27" s="23"/>
      <c r="M27" s="23"/>
      <c r="N27" s="23"/>
      <c r="O27" s="23"/>
      <c r="P27" s="23"/>
      <c r="Q27" s="23" t="s">
        <v>27</v>
      </c>
      <c r="R27" s="25">
        <v>244253</v>
      </c>
      <c r="S27" s="23"/>
      <c r="T27" s="23"/>
      <c r="U27" s="23"/>
      <c r="V27" s="23"/>
      <c r="W27" s="23"/>
      <c r="X27" s="23"/>
      <c r="Y27" s="23" t="s">
        <v>27</v>
      </c>
      <c r="Z27" s="25">
        <v>243887</v>
      </c>
    </row>
    <row r="28" spans="1:26" ht="18.75" x14ac:dyDescent="0.2">
      <c r="A28" s="16">
        <v>26</v>
      </c>
      <c r="B28" s="17" t="s">
        <v>120</v>
      </c>
      <c r="C28" s="16" t="s">
        <v>121</v>
      </c>
      <c r="D28" s="24" t="s">
        <v>122</v>
      </c>
      <c r="E28" s="16" t="s">
        <v>123</v>
      </c>
      <c r="F28" s="19"/>
      <c r="G28" s="19"/>
      <c r="H28" s="27"/>
      <c r="I28" s="16"/>
      <c r="J28" s="16"/>
      <c r="K28" s="25">
        <v>244604</v>
      </c>
      <c r="L28" s="23"/>
      <c r="M28" s="23"/>
      <c r="N28" s="23"/>
      <c r="O28" s="23"/>
      <c r="P28" s="23"/>
      <c r="Q28" s="23"/>
      <c r="R28" s="25">
        <v>244163</v>
      </c>
      <c r="S28" s="23"/>
      <c r="T28" s="23"/>
      <c r="U28" s="23"/>
      <c r="V28" s="23"/>
      <c r="W28" s="23"/>
      <c r="X28" s="23"/>
      <c r="Y28" s="23"/>
      <c r="Z28" s="25">
        <v>244163</v>
      </c>
    </row>
  </sheetData>
  <mergeCells count="13">
    <mergeCell ref="S1:Z1"/>
    <mergeCell ref="G1:G2"/>
    <mergeCell ref="H1:H2"/>
    <mergeCell ref="I1:I2"/>
    <mergeCell ref="J1:J2"/>
    <mergeCell ref="K1:K2"/>
    <mergeCell ref="L1:R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SM-FL-04-PS01</dc:creator>
  <cp:lastModifiedBy>SM-FL-04-PS01</cp:lastModifiedBy>
  <cp:lastPrinted>2026-03-31T07:53:37Z</cp:lastPrinted>
  <dcterms:created xsi:type="dcterms:W3CDTF">2026-03-31T07:53:23Z</dcterms:created>
  <dcterms:modified xsi:type="dcterms:W3CDTF">2026-03-31T07:53:53Z</dcterms:modified>
</cp:coreProperties>
</file>